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</font>
    <font>
      <b val="1"/>
      <sz val="12"/>
    </font>
    <font>
      <b val="1"/>
      <sz val="16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6: Der Lieferanten-Algorithmus 🎄</t>
        </is>
      </c>
    </row>
    <row r="3">
      <c r="A3" s="2" t="inlineStr">
        <is>
          <t>📜 DIE GESCHICHTE</t>
        </is>
      </c>
    </row>
    <row r="4">
      <c r="A4" s="3" t="inlineStr">
        <is>
          <t>Die Lieferantenauswahl-KI ist durcheinander!
Du musst die optimale Zuordnung von Lieferanten zu Materialien finden. Jeder Lieferant hat unterschiedliche Preise und Kapazitäten. Dein Ziel: Minimale Kosten bei vollständiger Bedarfsdeckung!
Die optimalen Gesamtkosten (gerundet und durch 100 geteilt) sind dein Code!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Lieferanten-Kosten-Matrix
2. Berechne für jeden Bedarf den günstigsten Lieferanten
3. Beachte die Kapazitätsgrenzen der Lieferanten
4. Nutze MIN, MINWENNS oder händische Optimierung
5. Summiere die minimalen Kosten
6. Code = Gesamtkosten / 100 (gerundet)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MIN, MINWENNS, SUMME, INDEX, VERGLEICH, Was-wäre-wenn-Analyse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Die optimalen Gesamtkosten geteilt durch 100 (gerundet)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1" t="inlineStr">
        <is>
          <t>🎯 LIEFERANTEN-OPTIMIERUNG 🎯</t>
        </is>
      </c>
    </row>
    <row r="3">
      <c r="A3" s="12" t="inlineStr">
        <is>
          <t>MATERIAL-BEDARF</t>
        </is>
      </c>
      <c r="G3" s="13" t="inlineStr">
        <is>
          <t>LIEFERANTEN-PREISE (pro Einheit)</t>
        </is>
      </c>
    </row>
    <row r="4">
      <c r="A4" s="14" t="inlineStr">
        <is>
          <t>Material</t>
        </is>
      </c>
      <c r="B4" s="14" t="inlineStr">
        <is>
          <t>Benötigte Menge</t>
        </is>
      </c>
      <c r="C4" s="14" t="inlineStr">
        <is>
          <t>Gewählter Lieferant</t>
        </is>
      </c>
      <c r="D4" s="14" t="inlineStr">
        <is>
          <t>Stückpreis</t>
        </is>
      </c>
      <c r="E4" s="14" t="inlineStr">
        <is>
          <t>Gesamtkosten</t>
        </is>
      </c>
      <c r="H4" t="inlineStr">
        <is>
          <t>Holz</t>
        </is>
      </c>
      <c r="I4" t="inlineStr">
        <is>
          <t>Farbe</t>
        </is>
      </c>
      <c r="J4" t="inlineStr">
        <is>
          <t>Schrauben</t>
        </is>
      </c>
      <c r="K4" t="inlineStr">
        <is>
          <t>Stoff</t>
        </is>
      </c>
    </row>
    <row r="5">
      <c r="A5" t="inlineStr">
        <is>
          <t>Holz</t>
        </is>
      </c>
      <c r="B5" t="n">
        <v>1000</v>
      </c>
      <c r="C5" t="inlineStr">
        <is>
          <t>Lieferant A</t>
        </is>
      </c>
      <c r="D5">
        <f>SVERWEIS(C5,$G$5:$K$7,VERGLEICH(A5,$H$4:$K$4,0)+1,FALSCH)</f>
        <v/>
      </c>
      <c r="E5">
        <f>B5*D5</f>
        <v/>
      </c>
      <c r="G5" t="inlineStr">
        <is>
          <t>Lieferant A</t>
        </is>
      </c>
      <c r="H5" t="n">
        <v>5</v>
      </c>
      <c r="I5" t="n">
        <v>12</v>
      </c>
      <c r="J5" t="n">
        <v>3</v>
      </c>
      <c r="K5" t="n">
        <v>6</v>
      </c>
    </row>
    <row r="6">
      <c r="A6" t="inlineStr">
        <is>
          <t>Farbe</t>
        </is>
      </c>
      <c r="B6" t="n">
        <v>500</v>
      </c>
      <c r="C6" t="inlineStr">
        <is>
          <t>Lieferant B</t>
        </is>
      </c>
      <c r="D6">
        <f>SVERWEIS(C6,$G$5:$K$7,VERGLEICH(A6,$H$4:$K$4,0)+1,FALSCH)</f>
        <v/>
      </c>
      <c r="E6">
        <f>B6*D6</f>
        <v/>
      </c>
      <c r="G6" t="inlineStr">
        <is>
          <t>Lieferant B</t>
        </is>
      </c>
      <c r="H6" t="n">
        <v>7</v>
      </c>
      <c r="I6" t="n">
        <v>8</v>
      </c>
      <c r="J6" t="n">
        <v>4</v>
      </c>
      <c r="K6" t="n">
        <v>9</v>
      </c>
    </row>
    <row r="7">
      <c r="A7" t="inlineStr">
        <is>
          <t>Schrauben</t>
        </is>
      </c>
      <c r="B7" t="n">
        <v>2000</v>
      </c>
      <c r="C7" t="inlineStr">
        <is>
          <t>Lieferant C</t>
        </is>
      </c>
      <c r="D7">
        <f>SVERWEIS(C7,$G$5:$K$7,VERGLEICH(A7,$H$4:$K$4,0)+1,FALSCH)</f>
        <v/>
      </c>
      <c r="E7">
        <f>B7*D7</f>
        <v/>
      </c>
      <c r="G7" t="inlineStr">
        <is>
          <t>Lieferant C</t>
        </is>
      </c>
      <c r="H7" t="n">
        <v>6</v>
      </c>
      <c r="I7" t="n">
        <v>10</v>
      </c>
      <c r="J7" t="n">
        <v>2</v>
      </c>
      <c r="K7" t="n">
        <v>7</v>
      </c>
    </row>
    <row r="8">
      <c r="A8" t="inlineStr">
        <is>
          <t>Stoff</t>
        </is>
      </c>
      <c r="B8" t="n">
        <v>800</v>
      </c>
      <c r="C8" t="inlineStr">
        <is>
          <t>Lieferant A</t>
        </is>
      </c>
      <c r="D8">
        <f>SVERWEIS(C8,$G$5:$K$7,VERGLEICH(A8,$H$4:$K$4,0)+1,FALSCH)</f>
        <v/>
      </c>
      <c r="E8">
        <f>B8*D8</f>
        <v/>
      </c>
    </row>
    <row r="11">
      <c r="A11" s="13" t="inlineStr">
        <is>
          <t>OPTIMALE ZUORDNUNG (manuelle Eingabe)</t>
        </is>
      </c>
    </row>
    <row r="13">
      <c r="A13" s="15" t="inlineStr">
        <is>
          <t>GESAMTKOSTEN:</t>
        </is>
      </c>
      <c r="B13" s="12">
        <f>SUMME(E5:E8)</f>
        <v/>
      </c>
    </row>
    <row r="14">
      <c r="A14" t="inlineStr">
        <is>
          <t>Geteilt durch 100:</t>
        </is>
      </c>
      <c r="B14" s="16">
        <f>RUNDEN(B13/100,0)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7" t="inlineStr">
        <is>
          <t>💡 HILFE-SYSTEM 💡</t>
        </is>
      </c>
    </row>
    <row r="3">
      <c r="A3" s="18" t="inlineStr">
        <is>
          <t>⚠️ Öffne die Hinweise nur, wenn du wirklich feststeckst!</t>
        </is>
      </c>
    </row>
    <row r="5">
      <c r="A5" s="19" t="inlineStr">
        <is>
          <t>🔍 HINWEIS 1 (Klein)</t>
        </is>
      </c>
    </row>
    <row r="6">
      <c r="A6" s="20" t="inlineStr">
        <is>
          <t>Hinweis 1: Für jedes Material findest du in der Preistabelle 3 Optionen. Wähle immer die günstigste.</t>
        </is>
      </c>
    </row>
    <row r="7"/>
    <row r="8"/>
    <row r="9">
      <c r="A9" s="19" t="inlineStr">
        <is>
          <t>🔎 HINWEIS 2 (Mittel)</t>
        </is>
      </c>
    </row>
    <row r="10">
      <c r="A10" s="20" t="inlineStr">
        <is>
          <t>Hinweis 2: Nutze SVERWEIS oder INDEX/VERGLEICH um den Preis des gewählten Lieferanten zu ermitteln.</t>
        </is>
      </c>
    </row>
    <row r="11"/>
    <row r="12"/>
    <row r="13">
      <c r="A13" s="19" t="inlineStr">
        <is>
          <t>🔦 HINWEIS 3 (Groß)</t>
        </is>
      </c>
    </row>
    <row r="14">
      <c r="A14" s="20" t="inlineStr">
        <is>
          <t>Hinweis 3: Optimale Wahl: Holz→A(5€), Farbe→B(8€), Schrauben→C(2€), Stoff→A(6€)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1" t="inlineStr">
        <is>
          <t>✅ LÖSUNGS-VALIDIERUNG ✅</t>
        </is>
      </c>
    </row>
    <row r="3">
      <c r="A3" s="12" t="inlineStr">
        <is>
          <t>Deine Eingabe:</t>
        </is>
      </c>
      <c r="B3" s="15">
        <f>'📖 Story &amp; Aufgabe'!B23</f>
        <v/>
      </c>
    </row>
    <row r="5">
      <c r="A5" s="12" t="inlineStr">
        <is>
          <t>Status:</t>
        </is>
      </c>
      <c r="B5" s="15">
        <f>IF(B3="","⏳ Noch nicht gelöst",IF(B3="9","✅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