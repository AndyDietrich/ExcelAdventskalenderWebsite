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tory &amp; Aufgabe" sheetId="1" state="visible" r:id="rId1"/>
    <sheet name="🎯 Arbeitsbereich" sheetId="2" state="visible" r:id="rId2"/>
    <sheet name="💡 Hinweise" sheetId="3" state="visible" r:id="rId3"/>
    <sheet name="✅ Validierung"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b val="1"/>
      <color rgb="00FFFFFF"/>
      <sz val="12"/>
    </font>
    <font>
      <sz val="11"/>
    </font>
    <font>
      <i val="1"/>
      <sz val="10"/>
    </font>
    <font>
      <b val="1"/>
      <sz val="11"/>
    </font>
    <font>
      <b val="1"/>
      <color rgb="00FFFFFF"/>
      <sz val="14"/>
    </font>
    <font>
      <b val="1"/>
      <sz val="12"/>
    </font>
    <font>
      <b val="1"/>
    </font>
    <font>
      <b val="1"/>
      <color rgb="00C00000"/>
      <sz val="16"/>
    </font>
    <font>
      <b val="1"/>
      <sz val="14"/>
    </font>
  </fonts>
  <fills count="7">
    <fill>
      <patternFill/>
    </fill>
    <fill>
      <patternFill patternType="gray125"/>
    </fill>
    <fill>
      <patternFill patternType="solid">
        <fgColor rgb="00C00000"/>
        <bgColor rgb="00C00000"/>
      </patternFill>
    </fill>
    <fill>
      <patternFill patternType="solid">
        <fgColor rgb="004472C4"/>
        <bgColor rgb="004472C4"/>
      </patternFill>
    </fill>
    <fill>
      <patternFill patternType="solid">
        <fgColor rgb="00FFC000"/>
        <bgColor rgb="00FFC000"/>
      </patternFill>
    </fill>
    <fill>
      <patternFill patternType="solid">
        <fgColor rgb="0000B050"/>
        <bgColor rgb="0000B050"/>
      </patternFill>
    </fill>
    <fill>
      <patternFill patternType="solid">
        <fgColor rgb="00FFFF00"/>
        <bgColor rgb="00FFFF00"/>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applyAlignment="1" pivotButton="0" quotePrefix="0" xfId="0">
      <alignment vertical="top" wrapText="1"/>
    </xf>
    <xf numFmtId="0" fontId="2" fillId="4" borderId="0" pivotButton="0" quotePrefix="0" xfId="0"/>
    <xf numFmtId="0" fontId="2" fillId="5" borderId="0" pivotButton="0" quotePrefix="0" xfId="0"/>
    <xf numFmtId="0" fontId="4" fillId="0" borderId="0" applyAlignment="1" pivotButton="0" quotePrefix="0" xfId="0">
      <alignment vertical="top" wrapText="1"/>
    </xf>
    <xf numFmtId="0" fontId="2" fillId="2" borderId="0" pivotButton="0" quotePrefix="0" xfId="0"/>
    <xf numFmtId="0" fontId="5" fillId="0" borderId="0" pivotButton="0" quotePrefix="0" xfId="0"/>
    <xf numFmtId="0" fontId="0" fillId="6" borderId="0" pivotButton="0" quotePrefix="0" xfId="0"/>
    <xf numFmtId="0" fontId="4" fillId="0" borderId="0" pivotButton="0" quotePrefix="0" xfId="0"/>
    <xf numFmtId="0" fontId="6" fillId="3" borderId="0" applyAlignment="1" pivotButton="0" quotePrefix="0" xfId="0">
      <alignment horizontal="center" vertical="center" wrapText="1"/>
    </xf>
    <xf numFmtId="0" fontId="7" fillId="0" borderId="0" pivotButton="0" quotePrefix="0" xfId="0"/>
    <xf numFmtId="0" fontId="7" fillId="6" borderId="0" applyAlignment="1" pivotButton="0" quotePrefix="0" xfId="0">
      <alignment horizontal="center"/>
    </xf>
    <xf numFmtId="0" fontId="7" fillId="0" borderId="0" applyAlignment="1" pivotButton="0" quotePrefix="0" xfId="0">
      <alignment horizontal="center"/>
    </xf>
    <xf numFmtId="0" fontId="7" fillId="4" borderId="0" pivotButton="0" quotePrefix="0" xfId="0"/>
    <xf numFmtId="0" fontId="8" fillId="0" borderId="0" pivotButton="0" quotePrefix="0" xfId="0"/>
    <xf numFmtId="0" fontId="9" fillId="5" borderId="0" pivotButton="0" quotePrefix="0" xfId="0"/>
    <xf numFmtId="0" fontId="6" fillId="4" borderId="0" applyAlignment="1" pivotButton="0" quotePrefix="0" xfId="0">
      <alignment horizontal="center" vertical="center" wrapText="1"/>
    </xf>
    <xf numFmtId="0" fontId="5" fillId="0" borderId="0" applyAlignment="1" pivotButton="0" quotePrefix="0" xfId="0">
      <alignment horizontal="center"/>
    </xf>
    <xf numFmtId="0" fontId="5" fillId="3" borderId="0" pivotButton="0" quotePrefix="0" xfId="0"/>
    <xf numFmtId="0" fontId="0" fillId="0" borderId="0" applyAlignment="1" pivotButton="0" quotePrefix="0" xfId="0">
      <alignment vertical="top" wrapText="1"/>
    </xf>
    <xf numFmtId="0" fontId="6" fillId="5" borderId="0" applyAlignment="1" pivotButton="0" quotePrefix="0" xfId="0">
      <alignment horizontal="center" vertical="center" wrapText="1"/>
    </xf>
    <xf numFmtId="0" fontId="1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0" customHeight="1">
      <c r="A1" s="1" t="inlineStr">
        <is>
          <t>🎄 TAG 2: Die Passwort-Matrix 🎄</t>
        </is>
      </c>
    </row>
    <row r="3">
      <c r="A3" s="2" t="inlineStr">
        <is>
          <t>📜 DIE GESCHICHTE</t>
        </is>
      </c>
    </row>
    <row r="4">
      <c r="A4" s="3" t="inlineStr">
        <is>
          <t>Der Zugang zum Hauptserver ist durch eine komplexe Passwort-Matrix geschützt!
Der GRINCH-Virus hat eine 5x5 Zahlenmatrix hinterlassen. Irgendwo in dieser Matrix ist ein Muster versteckt, das den nächsten Lösungscode enthält.
Die IT-Abteilung weiß, dass die Summe der Diagonalelemente der Schlüssel ist. Aber welche Diagonale ist gemeint?</t>
        </is>
      </c>
    </row>
    <row r="5"/>
    <row r="6"/>
    <row r="7"/>
    <row r="8"/>
    <row r="10">
      <c r="A10" s="4" t="inlineStr">
        <is>
          <t>🎯 DEINE AUFGABE</t>
        </is>
      </c>
    </row>
    <row r="11">
      <c r="A11" s="3" t="inlineStr">
        <is>
          <t>1. Analysiere die vorgegebene 5x5 Zahlen-Matrix
2. Erstelle eine dynamische Matrix mit SEQUENZ (optional für Fortgeschrittene)
3. Finde das Muster mit bedingter Formatierung
4. Berechne die Summe der Hauptdiagonale (von oben links nach unten rechts)
5. Wandle die Summe modulo 26 in einen Buchstaben um (A=1, B=2, ... Z=26)</t>
        </is>
      </c>
    </row>
    <row r="12"/>
    <row r="13"/>
    <row r="14"/>
    <row r="15"/>
    <row r="17">
      <c r="A17" s="5" t="inlineStr">
        <is>
          <t>💡 EXCEL-FEATURES</t>
        </is>
      </c>
    </row>
    <row r="18">
      <c r="A18" s="6" t="inlineStr">
        <is>
          <t>SEQUENZ, ZUFALLSMATRIX, Array-Formeln, Bedingte Formatierung, REST, ZEICHEN</t>
        </is>
      </c>
    </row>
    <row r="19"/>
    <row r="21">
      <c r="A21" s="7" t="inlineStr">
        <is>
          <t>🔐 LÖSUNGSCODE EINGABE</t>
        </is>
      </c>
    </row>
    <row r="23">
      <c r="A23" s="8" t="inlineStr">
        <is>
          <t>Dein Lösungscode:</t>
        </is>
      </c>
      <c r="B23" s="9" t="n"/>
    </row>
    <row r="24">
      <c r="A24" s="10" t="inlineStr">
        <is>
          <t>Hinweis:</t>
        </is>
      </c>
      <c r="B24" s="10" t="inlineStr">
        <is>
          <t>Die Summe der Hauptdiagonale modulo 26, als Buchstabe (A-Z)</t>
        </is>
      </c>
    </row>
  </sheetData>
  <mergeCells count="8">
    <mergeCell ref="A4:F8"/>
    <mergeCell ref="A10:F10"/>
    <mergeCell ref="A18:F19"/>
    <mergeCell ref="A1:F1"/>
    <mergeCell ref="A17:F17"/>
    <mergeCell ref="A3:F3"/>
    <mergeCell ref="A21:F21"/>
    <mergeCell ref="A11: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1" t="inlineStr">
        <is>
          <t>🎯 DIE PASSWORT-MATRIX 🎯</t>
        </is>
      </c>
    </row>
    <row r="3">
      <c r="A3" s="12" t="inlineStr">
        <is>
          <t>DIE VERSCHLÜSSELTE MATRIX:</t>
        </is>
      </c>
    </row>
    <row r="5">
      <c r="B5" s="13" t="n">
        <v>23</v>
      </c>
      <c r="C5" s="14" t="n">
        <v>5</v>
      </c>
      <c r="D5" s="14" t="n">
        <v>18</v>
      </c>
      <c r="E5" s="14" t="n">
        <v>9</v>
      </c>
      <c r="F5" s="14" t="n">
        <v>12</v>
      </c>
    </row>
    <row r="6">
      <c r="B6" s="14" t="n">
        <v>7</v>
      </c>
      <c r="C6" s="13" t="n">
        <v>19</v>
      </c>
      <c r="D6" s="14" t="n">
        <v>3</v>
      </c>
      <c r="E6" s="14" t="n">
        <v>14</v>
      </c>
      <c r="F6" s="14" t="n">
        <v>6</v>
      </c>
    </row>
    <row r="7">
      <c r="B7" s="14" t="n">
        <v>11</v>
      </c>
      <c r="C7" s="14" t="n">
        <v>8</v>
      </c>
      <c r="D7" s="13" t="n">
        <v>17</v>
      </c>
      <c r="E7" s="14" t="n">
        <v>2</v>
      </c>
      <c r="F7" s="14" t="n">
        <v>13</v>
      </c>
    </row>
    <row r="8">
      <c r="B8" s="14" t="n">
        <v>4</v>
      </c>
      <c r="C8" s="14" t="n">
        <v>15</v>
      </c>
      <c r="D8" s="14" t="n">
        <v>10</v>
      </c>
      <c r="E8" s="13" t="n">
        <v>21</v>
      </c>
      <c r="F8" s="14" t="n">
        <v>16</v>
      </c>
    </row>
    <row r="9">
      <c r="B9" s="14" t="n">
        <v>9</v>
      </c>
      <c r="C9" s="14" t="n">
        <v>1</v>
      </c>
      <c r="D9" s="14" t="n">
        <v>20</v>
      </c>
      <c r="E9" s="14" t="n">
        <v>6</v>
      </c>
      <c r="F9" s="13" t="n">
        <v>15</v>
      </c>
    </row>
    <row r="12">
      <c r="A12" s="15" t="inlineStr">
        <is>
          <t>BERECHNUNGEN:</t>
        </is>
      </c>
    </row>
    <row r="14">
      <c r="A14" t="inlineStr">
        <is>
          <t>Summe der Hauptdiagonale:</t>
        </is>
      </c>
      <c r="B14" s="16">
        <f>B5+C6+D7+E8+F9</f>
        <v/>
      </c>
    </row>
    <row r="15">
      <c r="A15" t="inlineStr">
        <is>
          <t>Modulo 26:</t>
        </is>
      </c>
      <c r="B15" s="16">
        <f>REST(B14,26)</f>
        <v/>
      </c>
    </row>
    <row r="16">
      <c r="A16" t="inlineStr">
        <is>
          <t>Als Buchstabe (0=Z, 1=A, 2=B, ...):</t>
        </is>
      </c>
      <c r="B16" s="17">
        <f>WENN(B15=0,"Z",ZEICHEN(64+B15))</f>
        <v/>
      </c>
    </row>
    <row r="18">
      <c r="A18" s="10" t="inlineStr">
        <is>
          <t>💡 Tipp: Die Hauptdiagonale läuft von oben links nach unten rechts</t>
        </is>
      </c>
    </row>
  </sheetData>
  <mergeCells count="2">
    <mergeCell ref="A18:H18"/>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8" t="inlineStr">
        <is>
          <t>💡 HILFE-SYSTEM 💡</t>
        </is>
      </c>
    </row>
    <row r="3">
      <c r="A3" s="19" t="inlineStr">
        <is>
          <t>⚠️ Öffne die Hinweise nur, wenn du wirklich feststeckst!</t>
        </is>
      </c>
    </row>
    <row r="5">
      <c r="A5" s="20" t="inlineStr">
        <is>
          <t>🔍 HINWEIS 1 (Klein)</t>
        </is>
      </c>
    </row>
    <row r="6">
      <c r="A6" s="21" t="inlineStr">
        <is>
          <t>Hinweis 1: Die Hauptdiagonale besteht aus den Zellen B5, C6, D7, E8, F9. Addiere diese Werte.</t>
        </is>
      </c>
    </row>
    <row r="7"/>
    <row r="8"/>
    <row r="9">
      <c r="A9" s="20" t="inlineStr">
        <is>
          <t>🔎 HINWEIS 2 (Mittel)</t>
        </is>
      </c>
    </row>
    <row r="10">
      <c r="A10" s="21" t="inlineStr">
        <is>
          <t>Hinweis 2: Verwende die REST-Funktion um den Modulo zu berechnen: =REST(Summe, 26)</t>
        </is>
      </c>
    </row>
    <row r="11"/>
    <row r="12"/>
    <row r="13">
      <c r="A13" s="20" t="inlineStr">
        <is>
          <t>🔦 HINWEIS 3 (Groß)</t>
        </is>
      </c>
    </row>
    <row r="14">
      <c r="A14" s="21" t="inlineStr">
        <is>
          <t>Hinweis 3: Konvertiere die Zahl in einen Buchstaben mit =ZEICHEN(64+Zahl). Achtung: Wenn das Ergebnis 0 ist, ist der Buchstabe Z!</t>
        </is>
      </c>
    </row>
    <row r="15"/>
    <row r="16"/>
  </sheetData>
  <mergeCells count="8">
    <mergeCell ref="A1:D1"/>
    <mergeCell ref="A5:D5"/>
    <mergeCell ref="A9:D9"/>
    <mergeCell ref="A3:D3"/>
    <mergeCell ref="A10:D12"/>
    <mergeCell ref="A14:D16"/>
    <mergeCell ref="A13:D13"/>
    <mergeCell ref="A6:D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30" customWidth="1" min="2" max="2"/>
    <col width="20" customWidth="1" min="3" max="3"/>
    <col width="20" customWidth="1" min="4" max="4"/>
  </cols>
  <sheetData>
    <row r="1">
      <c r="A1" s="22" t="inlineStr">
        <is>
          <t>✅ LÖSUNGS-VALIDIERUNG ✅</t>
        </is>
      </c>
    </row>
    <row r="3">
      <c r="A3" s="16" t="inlineStr">
        <is>
          <t>Deine Eingabe:</t>
        </is>
      </c>
      <c r="B3" s="12">
        <f>'📖 Story &amp; Aufgabe'!B23</f>
        <v/>
      </c>
    </row>
    <row r="5">
      <c r="A5" s="16" t="inlineStr">
        <is>
          <t>Status:</t>
        </is>
      </c>
      <c r="B5" s="12">
        <f>IF(B3="","⏳ Noch nicht gelöst",IF(B3="Q","✅ RICHTIG! Glückwunsch!","❌ Leider falsch, versuche es nochmal"))</f>
        <v/>
      </c>
    </row>
    <row r="7">
      <c r="A7" s="8" t="inlineStr">
        <is>
          <t>💾 Trage den Code in deinen Master-Tracker ein:</t>
        </is>
      </c>
    </row>
    <row r="8">
      <c r="A8" t="inlineStr">
        <is>
          <t>Code für Master-Tracker:</t>
        </is>
      </c>
      <c r="B8" s="23">
        <f>IF(B5="✅ RICHTIG! Glückwunsch!",B3,"")</f>
        <v/>
      </c>
    </row>
  </sheetData>
  <mergeCells count="2">
    <mergeCell ref="A1:D1"/>
    <mergeCell ref="A7:D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2025-11-11T17:47:17Z</dcterms:created>
  <dcterms:modified xsi:type="dcterms:W3CDTF">2025-11-11T17:47:17Z</dcterms:modified>
</cp:coreProperties>
</file>