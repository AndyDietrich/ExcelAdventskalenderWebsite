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Story &amp; Aufgabe" sheetId="1" state="visible" r:id="rId1"/>
    <sheet name="🎯 Arbeitsbereich" sheetId="2" state="visible" r:id="rId2"/>
    <sheet name="💡 Hinweise" sheetId="3" state="visible" r:id="rId3"/>
    <sheet name="✅ Validierung"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6"/>
    </font>
    <font>
      <b val="1"/>
      <color rgb="00FFFFFF"/>
      <sz val="12"/>
    </font>
    <font>
      <sz val="11"/>
    </font>
    <font>
      <i val="1"/>
      <sz val="10"/>
    </font>
    <font>
      <b val="1"/>
      <sz val="11"/>
    </font>
    <font>
      <b val="1"/>
      <color rgb="00FFFFFF"/>
      <sz val="14"/>
    </font>
    <font>
      <b val="1"/>
    </font>
    <font>
      <b val="1"/>
      <color rgb="00C00000"/>
    </font>
    <font>
      <b val="1"/>
      <sz val="12"/>
    </font>
    <font>
      <b val="1"/>
      <color rgb="00C00000"/>
      <sz val="16"/>
    </font>
    <font>
      <b val="1"/>
      <sz val="14"/>
    </font>
  </fonts>
  <fills count="8">
    <fill>
      <patternFill/>
    </fill>
    <fill>
      <patternFill patternType="gray125"/>
    </fill>
    <fill>
      <patternFill patternType="solid">
        <fgColor rgb="00C00000"/>
        <bgColor rgb="00C00000"/>
      </patternFill>
    </fill>
    <fill>
      <patternFill patternType="solid">
        <fgColor rgb="004472C4"/>
        <bgColor rgb="004472C4"/>
      </patternFill>
    </fill>
    <fill>
      <patternFill patternType="solid">
        <fgColor rgb="00FFC000"/>
        <bgColor rgb="00FFC000"/>
      </patternFill>
    </fill>
    <fill>
      <patternFill patternType="solid">
        <fgColor rgb="0000B050"/>
        <bgColor rgb="0000B050"/>
      </patternFill>
    </fill>
    <fill>
      <patternFill patternType="solid">
        <fgColor rgb="00FFFF00"/>
        <bgColor rgb="00FFFF00"/>
      </patternFill>
    </fill>
    <fill>
      <patternFill patternType="solid">
        <fgColor rgb="00FFC7CE"/>
        <bgColor rgb="00FFC7CE"/>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applyAlignment="1" pivotButton="0" quotePrefix="0" xfId="0">
      <alignment vertical="top" wrapText="1"/>
    </xf>
    <xf numFmtId="0" fontId="2" fillId="4" borderId="0" pivotButton="0" quotePrefix="0" xfId="0"/>
    <xf numFmtId="0" fontId="2" fillId="5" borderId="0" pivotButton="0" quotePrefix="0" xfId="0"/>
    <xf numFmtId="0" fontId="4" fillId="0" borderId="0" applyAlignment="1" pivotButton="0" quotePrefix="0" xfId="0">
      <alignment vertical="top" wrapText="1"/>
    </xf>
    <xf numFmtId="0" fontId="2" fillId="2" borderId="0" pivotButton="0" quotePrefix="0" xfId="0"/>
    <xf numFmtId="0" fontId="5" fillId="0" borderId="0" pivotButton="0" quotePrefix="0" xfId="0"/>
    <xf numFmtId="0" fontId="0" fillId="6" borderId="0" pivotButton="0" quotePrefix="0" xfId="0"/>
    <xf numFmtId="0" fontId="4" fillId="0" borderId="0" pivotButton="0" quotePrefix="0" xfId="0"/>
    <xf numFmtId="0" fontId="6" fillId="3" borderId="0" applyAlignment="1" pivotButton="0" quotePrefix="0" xfId="0">
      <alignment horizontal="center" vertical="center" wrapText="1"/>
    </xf>
    <xf numFmtId="0" fontId="7" fillId="0" borderId="0" pivotButton="0" quotePrefix="0" xfId="0"/>
    <xf numFmtId="0" fontId="7" fillId="3" borderId="0" pivotButton="0" quotePrefix="0" xfId="0"/>
    <xf numFmtId="0" fontId="8" fillId="7" borderId="0" pivotButton="0" quotePrefix="0" xfId="0"/>
    <xf numFmtId="0" fontId="9" fillId="4" borderId="0" pivotButton="0" quotePrefix="0" xfId="0"/>
    <xf numFmtId="0" fontId="10" fillId="5" borderId="0" pivotButton="0" quotePrefix="0" xfId="0"/>
    <xf numFmtId="0" fontId="6" fillId="4" borderId="0" applyAlignment="1" pivotButton="0" quotePrefix="0" xfId="0">
      <alignment horizontal="center" vertical="center" wrapText="1"/>
    </xf>
    <xf numFmtId="0" fontId="5" fillId="0" borderId="0" applyAlignment="1" pivotButton="0" quotePrefix="0" xfId="0">
      <alignment horizontal="center"/>
    </xf>
    <xf numFmtId="0" fontId="5" fillId="3" borderId="0" pivotButton="0" quotePrefix="0" xfId="0"/>
    <xf numFmtId="0" fontId="0" fillId="0" borderId="0" applyAlignment="1" pivotButton="0" quotePrefix="0" xfId="0">
      <alignment vertical="top" wrapText="1"/>
    </xf>
    <xf numFmtId="0" fontId="6" fillId="5" borderId="0" applyAlignment="1" pivotButton="0" quotePrefix="0" xfId="0">
      <alignment horizontal="center" vertical="center" wrapText="1"/>
    </xf>
    <xf numFmtId="0" fontId="9" fillId="0" borderId="0" pivotButton="0" quotePrefix="0" xfId="0"/>
    <xf numFmtId="0" fontId="11"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ht="30" customHeight="1">
      <c r="A1" s="1" t="inlineStr">
        <is>
          <t>🎄 TAG 3: Die Zeitstempel-Analyse 🎄</t>
        </is>
      </c>
    </row>
    <row r="3">
      <c r="A3" s="2" t="inlineStr">
        <is>
          <t>📜 DIE GESCHICHTE</t>
        </is>
      </c>
    </row>
    <row r="4">
      <c r="A4" s="3" t="inlineStr">
        <is>
          <t>Der Virus hat zu einer bestimmten Zeit zugeschlagen! Die Server-Logs sind noch vorhanden.
Analysiere die Zeitstempel der letzten Zugriffe auf den Server. Es gab einen verdächtigen Zugriff außerhalb der normalen Arbeitszeiten. Finde heraus, wann genau der Angriff begann!
Die Stunde des ersten verdächtigen Zugriffs ist der nächste Code!</t>
        </is>
      </c>
    </row>
    <row r="5"/>
    <row r="6"/>
    <row r="7"/>
    <row r="8"/>
    <row r="10">
      <c r="A10" s="4" t="inlineStr">
        <is>
          <t>🎯 DEINE AUFGABE</t>
        </is>
      </c>
    </row>
    <row r="11">
      <c r="A11" s="3" t="inlineStr">
        <is>
          <t>1. Analysiere die Zeitstempel-Daten im Arbeitsbereich
2. Bereinige unstrukturierte Zeitdaten mit ZEITWERT oder TEXT-Funktionen
3. Finde Anomalien: Zugriffe außerhalb 08:00-18:00 Uhr oder am Wochenende
4. Identifiziere den ERSTEN verdächtigen Zugriff
5. Die Stunde dieses Zugriffs (0-23) ist dein Code</t>
        </is>
      </c>
    </row>
    <row r="12"/>
    <row r="13"/>
    <row r="14"/>
    <row r="15"/>
    <row r="17">
      <c r="A17" s="5" t="inlineStr">
        <is>
          <t>💡 EXCEL-FEATURES</t>
        </is>
      </c>
    </row>
    <row r="18">
      <c r="A18" s="6" t="inlineStr">
        <is>
          <t>ZEITWERT, TEXT, STUNDE, WOCHENTAG, WENN, MIN, Filter</t>
        </is>
      </c>
    </row>
    <row r="19"/>
    <row r="21">
      <c r="A21" s="7" t="inlineStr">
        <is>
          <t>🔐 LÖSUNGSCODE EINGABE</t>
        </is>
      </c>
    </row>
    <row r="23">
      <c r="A23" s="8" t="inlineStr">
        <is>
          <t>Dein Lösungscode:</t>
        </is>
      </c>
      <c r="B23" s="9" t="n"/>
    </row>
    <row r="24">
      <c r="A24" s="10" t="inlineStr">
        <is>
          <t>Hinweis:</t>
        </is>
      </c>
      <c r="B24" s="10" t="inlineStr">
        <is>
          <t>Die Stunde (0-23) des ersten verdächtigen Zugriffs</t>
        </is>
      </c>
    </row>
  </sheetData>
  <mergeCells count="8">
    <mergeCell ref="A4:F8"/>
    <mergeCell ref="A10:F10"/>
    <mergeCell ref="A18:F19"/>
    <mergeCell ref="A1:F1"/>
    <mergeCell ref="A17:F17"/>
    <mergeCell ref="A3:F3"/>
    <mergeCell ref="A21:F21"/>
    <mergeCell ref="A11: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1" t="inlineStr">
        <is>
          <t>🎯 SERVER-LOG ANALYSE 🎯</t>
        </is>
      </c>
    </row>
    <row r="3">
      <c r="A3" s="12" t="inlineStr">
        <is>
          <t>SERVER ZUGRIFFS-LOGS</t>
        </is>
      </c>
    </row>
    <row r="4">
      <c r="A4" s="13" t="inlineStr">
        <is>
          <t>Log-ID</t>
        </is>
      </c>
      <c r="B4" s="13" t="inlineStr">
        <is>
          <t>Datum</t>
        </is>
      </c>
      <c r="C4" s="13" t="inlineStr">
        <is>
          <t>Uhrzeit</t>
        </is>
      </c>
      <c r="D4" s="13" t="inlineStr">
        <is>
          <t>Benutzer</t>
        </is>
      </c>
      <c r="E4" s="13" t="inlineStr">
        <is>
          <t>Aktion</t>
        </is>
      </c>
      <c r="F4" s="13" t="inlineStr">
        <is>
          <t>Status</t>
        </is>
      </c>
    </row>
    <row r="5">
      <c r="A5" t="n">
        <v>1001</v>
      </c>
      <c r="B5" t="inlineStr">
        <is>
          <t>30.11.2024</t>
        </is>
      </c>
      <c r="C5" t="inlineStr">
        <is>
          <t>09:15</t>
        </is>
      </c>
      <c r="D5" t="inlineStr">
        <is>
          <t>Elfman, J.</t>
        </is>
      </c>
      <c r="E5" t="inlineStr">
        <is>
          <t>Login</t>
        </is>
      </c>
      <c r="F5" t="inlineStr">
        <is>
          <t>OK</t>
        </is>
      </c>
    </row>
    <row r="6">
      <c r="A6" t="n">
        <v>1002</v>
      </c>
      <c r="B6" t="inlineStr">
        <is>
          <t>30.11.2024</t>
        </is>
      </c>
      <c r="C6" t="inlineStr">
        <is>
          <t>10:30</t>
        </is>
      </c>
      <c r="D6" t="inlineStr">
        <is>
          <t>Winterglow, S.</t>
        </is>
      </c>
      <c r="E6" t="inlineStr">
        <is>
          <t>File Access</t>
        </is>
      </c>
      <c r="F6" t="inlineStr">
        <is>
          <t>OK</t>
        </is>
      </c>
    </row>
    <row r="7">
      <c r="A7" t="n">
        <v>1003</v>
      </c>
      <c r="B7" t="inlineStr">
        <is>
          <t>30.11.2024</t>
        </is>
      </c>
      <c r="C7" t="inlineStr">
        <is>
          <t>14:20</t>
        </is>
      </c>
      <c r="D7" t="inlineStr">
        <is>
          <t>Schneider, T.</t>
        </is>
      </c>
      <c r="E7" t="inlineStr">
        <is>
          <t>System Check</t>
        </is>
      </c>
      <c r="F7" t="inlineStr">
        <is>
          <t>OK</t>
        </is>
      </c>
    </row>
    <row r="8">
      <c r="A8" t="n">
        <v>1004</v>
      </c>
      <c r="B8" t="inlineStr">
        <is>
          <t>30.11.2024</t>
        </is>
      </c>
      <c r="C8" t="inlineStr">
        <is>
          <t>16:45</t>
        </is>
      </c>
      <c r="D8" t="inlineStr">
        <is>
          <t>Mistletoe, H.</t>
        </is>
      </c>
      <c r="E8" t="inlineStr">
        <is>
          <t>Backup</t>
        </is>
      </c>
      <c r="F8" t="inlineStr">
        <is>
          <t>OK</t>
        </is>
      </c>
    </row>
    <row r="9">
      <c r="A9" t="n">
        <v>1005</v>
      </c>
      <c r="B9" t="inlineStr">
        <is>
          <t>01.12.2024</t>
        </is>
      </c>
      <c r="C9" t="inlineStr">
        <is>
          <t>03:17</t>
        </is>
      </c>
      <c r="D9" t="inlineStr">
        <is>
          <t>UNKNOWN</t>
        </is>
      </c>
      <c r="E9" t="inlineStr">
        <is>
          <t>System Breach</t>
        </is>
      </c>
      <c r="F9" s="14" t="inlineStr">
        <is>
          <t>ALERT</t>
        </is>
      </c>
    </row>
    <row r="10">
      <c r="A10" t="n">
        <v>1006</v>
      </c>
      <c r="B10" t="inlineStr">
        <is>
          <t>01.12.2024</t>
        </is>
      </c>
      <c r="C10" t="inlineStr">
        <is>
          <t>03:22</t>
        </is>
      </c>
      <c r="D10" t="inlineStr">
        <is>
          <t>UNKNOWN</t>
        </is>
      </c>
      <c r="E10" t="inlineStr">
        <is>
          <t>File Encryption</t>
        </is>
      </c>
      <c r="F10" s="14" t="inlineStr">
        <is>
          <t>ALERT</t>
        </is>
      </c>
    </row>
    <row r="11">
      <c r="A11" t="n">
        <v>1007</v>
      </c>
      <c r="B11" t="inlineStr">
        <is>
          <t>01.12.2024</t>
        </is>
      </c>
      <c r="C11" t="inlineStr">
        <is>
          <t>08:00</t>
        </is>
      </c>
      <c r="D11" t="inlineStr">
        <is>
          <t>Bells, J.</t>
        </is>
      </c>
      <c r="E11" t="inlineStr">
        <is>
          <t>Login</t>
        </is>
      </c>
      <c r="F11" t="inlineStr">
        <is>
          <t>OK</t>
        </is>
      </c>
    </row>
    <row r="12">
      <c r="A12" t="n">
        <v>1008</v>
      </c>
      <c r="B12" t="inlineStr">
        <is>
          <t>01.12.2024</t>
        </is>
      </c>
      <c r="C12" t="inlineStr">
        <is>
          <t>22:15</t>
        </is>
      </c>
      <c r="D12" t="inlineStr">
        <is>
          <t>UNKNOWN</t>
        </is>
      </c>
      <c r="E12" t="inlineStr">
        <is>
          <t>Suspicious</t>
        </is>
      </c>
      <c r="F12" s="14" t="inlineStr">
        <is>
          <t>ALERT</t>
        </is>
      </c>
    </row>
    <row r="13">
      <c r="A13" t="n">
        <v>1009</v>
      </c>
      <c r="B13" t="inlineStr">
        <is>
          <t>01.12.2024</t>
        </is>
      </c>
      <c r="C13" t="inlineStr">
        <is>
          <t>11:30</t>
        </is>
      </c>
      <c r="D13" t="inlineStr">
        <is>
          <t>Iceberg, F.</t>
        </is>
      </c>
      <c r="E13" t="inlineStr">
        <is>
          <t>Report</t>
        </is>
      </c>
      <c r="F13" t="inlineStr">
        <is>
          <t>OK</t>
        </is>
      </c>
    </row>
    <row r="14">
      <c r="A14" t="n">
        <v>1010</v>
      </c>
      <c r="B14" t="inlineStr">
        <is>
          <t>01.12.2024</t>
        </is>
      </c>
      <c r="C14" t="inlineStr">
        <is>
          <t>15:00</t>
        </is>
      </c>
      <c r="D14" t="inlineStr">
        <is>
          <t>Cane, C.</t>
        </is>
      </c>
      <c r="E14" t="inlineStr">
        <is>
          <t>HR Access</t>
        </is>
      </c>
      <c r="F14" t="inlineStr">
        <is>
          <t>OK</t>
        </is>
      </c>
    </row>
    <row r="17">
      <c r="A17" s="15" t="inlineStr">
        <is>
          <t>ANOMALIE-ANALYSE</t>
        </is>
      </c>
    </row>
    <row r="19">
      <c r="A19" t="inlineStr">
        <is>
          <t>Erster ALERT-Eintrag:</t>
        </is>
      </c>
      <c r="B19">
        <f>INDEX(A5:A14,VERGLEICH("ALERT",F5:F14,0))</f>
        <v/>
      </c>
    </row>
    <row r="20">
      <c r="A20" t="inlineStr">
        <is>
          <t>Uhrzeit des ersten ALERTs:</t>
        </is>
      </c>
      <c r="B20" s="9">
        <f>INDEX(C5:C14,VERGLEICH("ALERT",F5:F14,0))</f>
        <v/>
      </c>
    </row>
    <row r="21">
      <c r="A21" t="inlineStr">
        <is>
          <t>Stunde extrahieren:</t>
        </is>
      </c>
      <c r="B21" s="16">
        <f>STUNDE(ZEITWERT(B20))</f>
        <v/>
      </c>
    </row>
    <row r="23">
      <c r="A23" s="10" t="inlineStr">
        <is>
          <t>💡 Tipp: Suche nach dem ersten 'ALERT' Status und extrahiere die Stunde</t>
        </is>
      </c>
    </row>
  </sheetData>
  <mergeCells count="2">
    <mergeCell ref="A1:F1"/>
    <mergeCell ref="A23:F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7" t="inlineStr">
        <is>
          <t>💡 HILFE-SYSTEM 💡</t>
        </is>
      </c>
    </row>
    <row r="3">
      <c r="A3" s="18" t="inlineStr">
        <is>
          <t>⚠️ Öffne die Hinweise nur, wenn du wirklich feststeckst!</t>
        </is>
      </c>
    </row>
    <row r="5">
      <c r="A5" s="19" t="inlineStr">
        <is>
          <t>🔍 HINWEIS 1 (Klein)</t>
        </is>
      </c>
    </row>
    <row r="6">
      <c r="A6" s="20" t="inlineStr">
        <is>
          <t>Hinweis 1: Filtere oder suche nach Einträgen mit Status 'ALERT'. Diese sind verdächtig.</t>
        </is>
      </c>
    </row>
    <row r="7"/>
    <row r="8"/>
    <row r="9">
      <c r="A9" s="19" t="inlineStr">
        <is>
          <t>🔎 HINWEIS 2 (Mittel)</t>
        </is>
      </c>
    </row>
    <row r="10">
      <c r="A10" s="20" t="inlineStr">
        <is>
          <t>Hinweis 2: Verwende INDEX/VERGLEICH um die Uhrzeit des ersten ALERT-Eintrags zu finden: =INDEX(Uhrzeit_Spalte, VERGLEICH("ALERT", Status_Spalte, 0))</t>
        </is>
      </c>
    </row>
    <row r="11"/>
    <row r="12"/>
    <row r="13">
      <c r="A13" s="19" t="inlineStr">
        <is>
          <t>🔦 HINWEIS 3 (Groß)</t>
        </is>
      </c>
    </row>
    <row r="14">
      <c r="A14" s="20" t="inlineStr">
        <is>
          <t>Hinweis 3: Extrahiere die Stunde mit =STUNDE(ZEITWERT(Uhrzeit_Text)). Das Ergebnis ist eine Zahl zwischen 0 und 23.</t>
        </is>
      </c>
    </row>
    <row r="15"/>
    <row r="16"/>
  </sheetData>
  <mergeCells count="8">
    <mergeCell ref="A1:D1"/>
    <mergeCell ref="A5:D5"/>
    <mergeCell ref="A9:D9"/>
    <mergeCell ref="A3:D3"/>
    <mergeCell ref="A10:D12"/>
    <mergeCell ref="A14:D16"/>
    <mergeCell ref="A13:D13"/>
    <mergeCell ref="A6:D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5" customWidth="1" min="1" max="1"/>
    <col width="30" customWidth="1" min="2" max="2"/>
    <col width="20" customWidth="1" min="3" max="3"/>
    <col width="20" customWidth="1" min="4" max="4"/>
  </cols>
  <sheetData>
    <row r="1">
      <c r="A1" s="21" t="inlineStr">
        <is>
          <t>✅ LÖSUNGS-VALIDIERUNG ✅</t>
        </is>
      </c>
    </row>
    <row r="3">
      <c r="A3" s="12" t="inlineStr">
        <is>
          <t>Deine Eingabe:</t>
        </is>
      </c>
      <c r="B3" s="22">
        <f>'📖 Story &amp; Aufgabe'!B23</f>
        <v/>
      </c>
    </row>
    <row r="5">
      <c r="A5" s="12" t="inlineStr">
        <is>
          <t>Status:</t>
        </is>
      </c>
      <c r="B5" s="22">
        <f>IF(B3="","⏳ Noch nicht gelöst",IF(B3="3","✅ RICHTIG! Glückwunsch!","❌ Leider falsch, versuche es nochmal"))</f>
        <v/>
      </c>
    </row>
    <row r="7">
      <c r="A7" s="8" t="inlineStr">
        <is>
          <t>💾 Trage den Code in deinen Master-Tracker ein:</t>
        </is>
      </c>
    </row>
    <row r="8">
      <c r="A8" t="inlineStr">
        <is>
          <t>Code für Master-Tracker:</t>
        </is>
      </c>
      <c r="B8" s="23">
        <f>IF(B5="✅ RICHTIG! Glückwunsch!",B3,"")</f>
        <v/>
      </c>
    </row>
  </sheetData>
  <mergeCells count="2">
    <mergeCell ref="A1:D1"/>
    <mergeCell ref="A7:D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2025-11-11T17:47:17Z</dcterms:created>
  <dcterms:modified xsi:type="dcterms:W3CDTF">2025-11-11T17:47:17Z</dcterms:modified>
</cp:coreProperties>
</file>