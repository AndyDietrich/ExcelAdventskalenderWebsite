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Story &amp; Aufgabe" sheetId="1" state="visible" r:id="rId1"/>
    <sheet name="🎯 Arbeitsbereich" sheetId="2" state="visible" r:id="rId2"/>
    <sheet name="💡 Hinweise" sheetId="3" state="visible" r:id="rId3"/>
    <sheet name="✅ Validieru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sz val="11"/>
    </font>
    <font>
      <i val="1"/>
      <sz val="10"/>
    </font>
    <font>
      <b val="1"/>
      <sz val="11"/>
    </font>
    <font>
      <b val="1"/>
      <color rgb="00FFFFFF"/>
      <sz val="14"/>
    </font>
    <font>
      <b val="1"/>
    </font>
    <font>
      <b val="1"/>
      <sz val="12"/>
    </font>
    <font>
      <b val="1"/>
      <color rgb="00C00000"/>
      <sz val="18"/>
    </font>
    <font>
      <i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applyAlignment="1" pivotButton="0" quotePrefix="0" xfId="0">
      <alignment vertical="top" wrapText="1"/>
    </xf>
    <xf numFmtId="0" fontId="2" fillId="4" borderId="0" pivotButton="0" quotePrefix="0" xfId="0"/>
    <xf numFmtId="0" fontId="2" fillId="5" borderId="0" pivotButton="0" quotePrefix="0" xfId="0"/>
    <xf numFmtId="0" fontId="4" fillId="0" borderId="0" applyAlignment="1" pivotButton="0" quotePrefix="0" xfId="0">
      <alignment vertical="top" wrapText="1"/>
    </xf>
    <xf numFmtId="0" fontId="2" fillId="2" borderId="0" pivotButton="0" quotePrefix="0" xfId="0"/>
    <xf numFmtId="0" fontId="5" fillId="0" borderId="0" pivotButton="0" quotePrefix="0" xfId="0"/>
    <xf numFmtId="0" fontId="0" fillId="6" borderId="0" pivotButton="0" quotePrefix="0" xfId="0"/>
    <xf numFmtId="0" fontId="4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7" fillId="3" borderId="0" pivotButton="0" quotePrefix="0" xfId="0"/>
    <xf numFmtId="0" fontId="8" fillId="4" borderId="0" pivotButton="0" quotePrefix="0" xfId="0"/>
    <xf numFmtId="0" fontId="9" fillId="5" borderId="0" pivotButton="0" quotePrefix="0" xfId="0"/>
    <xf numFmtId="0" fontId="10" fillId="0" borderId="0" pivotButton="0" quotePrefix="0" xfId="0"/>
    <xf numFmtId="0" fontId="6" fillId="4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5" fillId="3" borderId="0" pivotButton="0" quotePrefix="0" xfId="0"/>
    <xf numFmtId="0" fontId="0" fillId="0" borderId="0" applyAlignment="1" pivotButton="0" quotePrefix="0" xfId="0">
      <alignment vertical="top" wrapText="1"/>
    </xf>
    <xf numFmtId="0" fontId="6" fillId="5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11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1" t="inlineStr">
        <is>
          <t>🎄 TAG 5: Das Produktions-Dashboard 🎄</t>
        </is>
      </c>
    </row>
    <row r="3">
      <c r="A3" s="2" t="inlineStr">
        <is>
          <t>📜 DIE GESCHICHTE</t>
        </is>
      </c>
    </row>
    <row r="4">
      <c r="A4" s="3" t="inlineStr">
        <is>
          <t>Das Produktionsüberwachungssystem zeigt nur noch Fehler an!
Die Produktion läuft, aber das Dashboard zeigt überall #NV und #DIV/0! Fehler. Du musst die Formeln reparieren und das Ampelsystem wiederherstellen.
Zähle, wie viele Produktionslinien nach der Reparatur GRÜN (alles OK) anzeigen. Diese Anzahl ist dein Code!</t>
        </is>
      </c>
    </row>
    <row r="5"/>
    <row r="6"/>
    <row r="7"/>
    <row r="8"/>
    <row r="10">
      <c r="A10" s="4" t="inlineStr">
        <is>
          <t>🎯 DEINE AUFGABE</t>
        </is>
      </c>
    </row>
    <row r="11">
      <c r="A11" s="3" t="inlineStr">
        <is>
          <t>1. Analysiere die fehlerhaften SVERWEISE im Dashboard
2. Repariere die Formeln mit WENNFEHLER oder XVERWEIS
3. Implementiere das Ampelsystem mit WENN-Funktionen:
   🟢 GRÜN: Auslastung &gt;= 80%
   🟡 GELB: Auslastung 50-79%
   🔴 ROT: Auslastung &lt; 50%
4. Zähle die grünen Ampeln
5. Die Anzahl ist dein Lösungscode</t>
        </is>
      </c>
    </row>
    <row r="12"/>
    <row r="13"/>
    <row r="14"/>
    <row r="15"/>
    <row r="17">
      <c r="A17" s="5" t="inlineStr">
        <is>
          <t>💡 EXCEL-FEATURES</t>
        </is>
      </c>
    </row>
    <row r="18">
      <c r="A18" s="6" t="inlineStr">
        <is>
          <t>SVERWEIS, XVERWEIS, WENNFEHLER, Verschachtelte WENN, ZÄHLENWENN</t>
        </is>
      </c>
    </row>
    <row r="19"/>
    <row r="21">
      <c r="A21" s="7" t="inlineStr">
        <is>
          <t>🔐 LÖSUNGSCODE EINGABE</t>
        </is>
      </c>
    </row>
    <row r="23">
      <c r="A23" s="8" t="inlineStr">
        <is>
          <t>Dein Lösungscode:</t>
        </is>
      </c>
      <c r="B23" s="9" t="n"/>
    </row>
    <row r="24">
      <c r="A24" s="10" t="inlineStr">
        <is>
          <t>Hinweis:</t>
        </is>
      </c>
      <c r="B24" s="10" t="inlineStr">
        <is>
          <t>Die Anzahl der GRÜNEN Ampeln (Zahl 0-9)</t>
        </is>
      </c>
    </row>
  </sheetData>
  <mergeCells count="8">
    <mergeCell ref="A4:F8"/>
    <mergeCell ref="A10:F10"/>
    <mergeCell ref="A18:F19"/>
    <mergeCell ref="A1:F1"/>
    <mergeCell ref="A17:F17"/>
    <mergeCell ref="A3:F3"/>
    <mergeCell ref="A21:F21"/>
    <mergeCell ref="A11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1" t="inlineStr">
        <is>
          <t>🎯 PRODUKTIONS-DASHBOARD 🎯</t>
        </is>
      </c>
    </row>
    <row r="3">
      <c r="A3" s="12" t="inlineStr">
        <is>
          <t>PRODUKTIONSLINIEN STATUS</t>
        </is>
      </c>
    </row>
    <row r="4">
      <c r="A4" s="13" t="inlineStr">
        <is>
          <t>Linien-ID</t>
        </is>
      </c>
      <c r="B4" s="13" t="inlineStr">
        <is>
          <t>Name</t>
        </is>
      </c>
      <c r="C4" s="13" t="inlineStr">
        <is>
          <t>Kapazität/h</t>
        </is>
      </c>
      <c r="D4" s="13" t="inlineStr">
        <is>
          <t>Aktuell/h</t>
        </is>
      </c>
      <c r="E4" s="13" t="inlineStr">
        <is>
          <t>Auslastung %</t>
        </is>
      </c>
      <c r="F4" s="13" t="inlineStr">
        <is>
          <t>Ampel</t>
        </is>
      </c>
    </row>
    <row r="5">
      <c r="A5" t="inlineStr">
        <is>
          <t>L001</t>
        </is>
      </c>
      <c r="B5" t="inlineStr">
        <is>
          <t>Spielzeug-Montage</t>
        </is>
      </c>
      <c r="C5" t="n">
        <v>1000</v>
      </c>
      <c r="D5" t="n">
        <v>920</v>
      </c>
      <c r="E5">
        <f>RUNDEN(D5/C5*100,0)</f>
        <v/>
      </c>
      <c r="F5">
        <f>WENN(E5&gt;=80,"🟢 GRÜN",WENN(E5&gt;=50,"🟡 GELB","🔴 ROT"))</f>
        <v/>
      </c>
    </row>
    <row r="6">
      <c r="A6" t="inlineStr">
        <is>
          <t>L002</t>
        </is>
      </c>
      <c r="B6" t="inlineStr">
        <is>
          <t>Verpackungsstraße</t>
        </is>
      </c>
      <c r="C6" t="n">
        <v>1500</v>
      </c>
      <c r="D6" t="n">
        <v>1350</v>
      </c>
      <c r="E6">
        <f>RUNDEN(D6/C6*100,0)</f>
        <v/>
      </c>
      <c r="F6">
        <f>WENN(E6&gt;=80,"🟢 GRÜN",WENN(E6&gt;=50,"🟡 GELB","🔴 ROT"))</f>
        <v/>
      </c>
    </row>
    <row r="7">
      <c r="A7" t="inlineStr">
        <is>
          <t>L003</t>
        </is>
      </c>
      <c r="B7" t="inlineStr">
        <is>
          <t>Qualitätskontrolle</t>
        </is>
      </c>
      <c r="C7" t="n">
        <v>800</v>
      </c>
      <c r="D7" t="n">
        <v>680</v>
      </c>
      <c r="E7">
        <f>RUNDEN(D7/C7*100,0)</f>
        <v/>
      </c>
      <c r="F7">
        <f>WENN(E7&gt;=80,"🟢 GRÜN",WENN(E7&gt;=50,"🟡 GELB","🔴 ROT"))</f>
        <v/>
      </c>
    </row>
    <row r="8">
      <c r="A8" t="inlineStr">
        <is>
          <t>L004</t>
        </is>
      </c>
      <c r="B8" t="inlineStr">
        <is>
          <t>Geschenkpapier</t>
        </is>
      </c>
      <c r="C8" t="n">
        <v>1200</v>
      </c>
      <c r="D8" t="n">
        <v>960</v>
      </c>
      <c r="E8">
        <f>RUNDEN(D8/C8*100,0)</f>
        <v/>
      </c>
      <c r="F8">
        <f>WENN(E8&gt;=80,"🟢 GRÜN",WENN(E8&gt;=50,"🟡 GELB","🔴 ROT"))</f>
        <v/>
      </c>
    </row>
    <row r="9">
      <c r="A9" t="inlineStr">
        <is>
          <t>L005</t>
        </is>
      </c>
      <c r="B9" t="inlineStr">
        <is>
          <t>Schleifenbinderei</t>
        </is>
      </c>
      <c r="C9" t="n">
        <v>500</v>
      </c>
      <c r="D9" t="n">
        <v>380</v>
      </c>
      <c r="E9">
        <f>RUNDEN(D9/C9*100,0)</f>
        <v/>
      </c>
      <c r="F9">
        <f>WENN(E9&gt;=80,"🟢 GRÜN",WENN(E9&gt;=50,"🟡 GELB","🔴 ROT"))</f>
        <v/>
      </c>
    </row>
    <row r="10">
      <c r="A10" t="inlineStr">
        <is>
          <t>L006</t>
        </is>
      </c>
      <c r="B10" t="inlineStr">
        <is>
          <t>Etikettierer</t>
        </is>
      </c>
      <c r="C10" t="n">
        <v>2000</v>
      </c>
      <c r="D10" t="n">
        <v>1700</v>
      </c>
      <c r="E10">
        <f>RUNDEN(D10/C10*100,0)</f>
        <v/>
      </c>
      <c r="F10">
        <f>WENN(E10&gt;=80,"🟢 GRÜN",WENN(E10&gt;=50,"🟡 GELB","🔴 ROT"))</f>
        <v/>
      </c>
    </row>
    <row r="11">
      <c r="A11" t="inlineStr">
        <is>
          <t>L007</t>
        </is>
      </c>
      <c r="B11" t="inlineStr">
        <is>
          <t>Sortieranlage</t>
        </is>
      </c>
      <c r="C11" t="n">
        <v>1800</v>
      </c>
      <c r="D11" t="n">
        <v>1530</v>
      </c>
      <c r="E11">
        <f>RUNDEN(D11/C11*100,0)</f>
        <v/>
      </c>
      <c r="F11">
        <f>WENN(E11&gt;=80,"🟢 GRÜN",WENN(E11&gt;=50,"🟡 GELB","🔴 ROT"))</f>
        <v/>
      </c>
    </row>
    <row r="12">
      <c r="A12" t="inlineStr">
        <is>
          <t>L008</t>
        </is>
      </c>
      <c r="B12" t="inlineStr">
        <is>
          <t>Express-Linie</t>
        </is>
      </c>
      <c r="C12" t="n">
        <v>600</v>
      </c>
      <c r="D12" t="n">
        <v>270</v>
      </c>
      <c r="E12">
        <f>RUNDEN(D12/C12*100,0)</f>
        <v/>
      </c>
      <c r="F12">
        <f>WENN(E12&gt;=80,"🟢 GRÜN",WENN(E12&gt;=50,"🟡 GELB","🔴 ROT"))</f>
        <v/>
      </c>
    </row>
    <row r="15">
      <c r="A15" s="14" t="inlineStr">
        <is>
          <t>AUSWERTUNG</t>
        </is>
      </c>
    </row>
    <row r="17">
      <c r="A17" t="inlineStr">
        <is>
          <t>Anzahl GRÜNE Ampeln:</t>
        </is>
      </c>
      <c r="B17" s="15">
        <f>ZÄHLENWENN(F5:F12,"🟢 GRÜN")</f>
        <v/>
      </c>
    </row>
    <row r="19">
      <c r="A19" s="16" t="inlineStr">
        <is>
          <t>💡 Tipp: Grün = &gt;=80%, Gelb = 50-79%, Rot = &lt;50%</t>
        </is>
      </c>
    </row>
  </sheetData>
  <mergeCells count="2">
    <mergeCell ref="A19:G19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7" t="inlineStr">
        <is>
          <t>💡 HILFE-SYSTEM 💡</t>
        </is>
      </c>
    </row>
    <row r="3">
      <c r="A3" s="18" t="inlineStr">
        <is>
          <t>⚠️ Öffne die Hinweise nur, wenn du wirklich feststeckst!</t>
        </is>
      </c>
    </row>
    <row r="5">
      <c r="A5" s="19" t="inlineStr">
        <is>
          <t>🔍 HINWEIS 1 (Klein)</t>
        </is>
      </c>
    </row>
    <row r="6">
      <c r="A6" s="20" t="inlineStr">
        <is>
          <t>Hinweis 1: Berechne die Auslastung in Prozent: =(Aktuell/Kapazität)*100</t>
        </is>
      </c>
    </row>
    <row r="7"/>
    <row r="8"/>
    <row r="9">
      <c r="A9" s="19" t="inlineStr">
        <is>
          <t>🔎 HINWEIS 2 (Mittel)</t>
        </is>
      </c>
    </row>
    <row r="10">
      <c r="A10" s="20" t="inlineStr">
        <is>
          <t>Hinweis 2: Die Ampel-Formel: =WENN(Auslastung&gt;=80,"🟢 GRÜN",WENN(Auslastung&gt;=50,"🟡 GELB","🔴 ROT"))</t>
        </is>
      </c>
    </row>
    <row r="11"/>
    <row r="12"/>
    <row r="13">
      <c r="A13" s="19" t="inlineStr">
        <is>
          <t>🔦 HINWEIS 3 (Groß)</t>
        </is>
      </c>
    </row>
    <row r="14">
      <c r="A14" s="20" t="inlineStr">
        <is>
          <t>Hinweis 3: Zähle die grünen Ampeln mit: =ZÄHLENWENN(F5:F12,"🟢 GRÜN")</t>
        </is>
      </c>
    </row>
    <row r="15"/>
    <row r="16"/>
  </sheetData>
  <mergeCells count="8">
    <mergeCell ref="A1:D1"/>
    <mergeCell ref="A5:D5"/>
    <mergeCell ref="A9:D9"/>
    <mergeCell ref="A3:D3"/>
    <mergeCell ref="A10:D12"/>
    <mergeCell ref="A14:D16"/>
    <mergeCell ref="A13:D13"/>
    <mergeCell ref="A6:D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20" customWidth="1" min="4" max="4"/>
  </cols>
  <sheetData>
    <row r="1">
      <c r="A1" s="21" t="inlineStr">
        <is>
          <t>✅ LÖSUNGS-VALIDIERUNG ✅</t>
        </is>
      </c>
    </row>
    <row r="3">
      <c r="A3" s="12" t="inlineStr">
        <is>
          <t>Deine Eingabe:</t>
        </is>
      </c>
      <c r="B3" s="22">
        <f>'📖 Story &amp; Aufgabe'!B23</f>
        <v/>
      </c>
    </row>
    <row r="5">
      <c r="A5" s="12" t="inlineStr">
        <is>
          <t>Status:</t>
        </is>
      </c>
      <c r="B5" s="22">
        <f>IF(B3="","⏳ Noch nicht gelöst",IF(B3="6","✅ RICHTIG! Glückwunsch!","❌ Leider falsch, versuche es nochmal"))</f>
        <v/>
      </c>
    </row>
    <row r="7">
      <c r="A7" s="8" t="inlineStr">
        <is>
          <t>💾 Trage den Code in deinen Master-Tracker ein:</t>
        </is>
      </c>
    </row>
    <row r="8">
      <c r="A8" t="inlineStr">
        <is>
          <t>Code für Master-Tracker:</t>
        </is>
      </c>
      <c r="B8" s="23">
        <f>IF(B5="✅ RICHTIG! Glückwunsch!",B3,"")</f>
        <v/>
      </c>
    </row>
  </sheetData>
  <mergeCells count="2">
    <mergeCell ref="A1:D1"/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2025-11-11T17:47:17Z</dcterms:created>
  <dcterms:modified xsi:type="dcterms:W3CDTF">2025-11-11T17:47:17Z</dcterms:modified>
</cp:coreProperties>
</file>