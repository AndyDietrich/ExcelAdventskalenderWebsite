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Story &amp; Aufgabe" sheetId="1" state="visible" r:id="rId1"/>
    <sheet name="🎯 Arbeitsbereich" sheetId="2" state="visible" r:id="rId2"/>
    <sheet name="💡 Hinweise" sheetId="3" state="visible" r:id="rId3"/>
    <sheet name="✅ Validieru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sz val="11"/>
    </font>
    <font>
      <i val="1"/>
      <sz val="10"/>
    </font>
    <font>
      <b val="1"/>
      <sz val="11"/>
    </font>
    <font>
      <b val="1"/>
      <color rgb="00FFFFFF"/>
      <sz val="14"/>
    </font>
    <font>
      <b val="1"/>
    </font>
    <font>
      <b val="1"/>
      <sz val="12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applyAlignment="1" pivotButton="0" quotePrefix="0" xfId="0">
      <alignment vertical="top" wrapText="1"/>
    </xf>
    <xf numFmtId="0" fontId="2" fillId="4" borderId="0" pivotButton="0" quotePrefix="0" xfId="0"/>
    <xf numFmtId="0" fontId="2" fillId="5" borderId="0" pivotButton="0" quotePrefix="0" xfId="0"/>
    <xf numFmtId="0" fontId="4" fillId="0" borderId="0" applyAlignment="1" pivotButton="0" quotePrefix="0" xfId="0">
      <alignment vertical="top" wrapText="1"/>
    </xf>
    <xf numFmtId="0" fontId="2" fillId="2" borderId="0" pivotButton="0" quotePrefix="0" xfId="0"/>
    <xf numFmtId="0" fontId="5" fillId="0" borderId="0" pivotButton="0" quotePrefix="0" xfId="0"/>
    <xf numFmtId="0" fontId="0" fillId="6" borderId="0" pivotButton="0" quotePrefix="0" xfId="0"/>
    <xf numFmtId="0" fontId="4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7" fillId="3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5" fillId="3" borderId="0" pivotButton="0" quotePrefix="0" xfId="0"/>
    <xf numFmtId="0" fontId="0" fillId="0" borderId="0" applyAlignment="1" pivotButton="0" quotePrefix="0" xfId="0">
      <alignment vertical="top" wrapText="1"/>
    </xf>
    <xf numFmtId="0" fontId="6" fillId="5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🎄 TAG 1: Das verschlüsselte Mitarbeiterverzeichnis 🎄</t>
        </is>
      </c>
    </row>
    <row r="3">
      <c r="A3" s="2" t="inlineStr">
        <is>
          <t>📜 DIE GESCHICHTE</t>
        </is>
      </c>
    </row>
    <row r="4">
      <c r="A4" s="3" t="inlineStr">
        <is>
          <t>Die Elfendatenbank ist verschlüsselt! Der GRINCH-Virus hat alle Mitarbeiterdaten durcheinandergebracht.
Nur wenn du die richtigen Mitarbeiter findest und ihre verschlüsselten IDs entschlüsselst, kannst du auf das nächste System zugreifen. Die Personalabteilung hat einen Backup-Datensatz, aber die wichtigen Informationen sind versteckt.
Der Elf mit der höchsten Sicherheitsfreigabe kennt den ersten Teil des Master-Passworts!</t>
        </is>
      </c>
    </row>
    <row r="5"/>
    <row r="6"/>
    <row r="7"/>
    <row r="8"/>
    <row r="10">
      <c r="A10" s="4" t="inlineStr">
        <is>
          <t>🎯 DEINE AUFGABE</t>
        </is>
      </c>
    </row>
    <row r="11">
      <c r="A11" s="3" t="inlineStr">
        <is>
          <t>1. Analysiere die Mitarbeiterdaten im Arbeitsbereich
2. Verwende XLOOKUP oder INDEX/VERGLEICH um die verschlüsselten Mitarbeiter-IDs zu finden
3. Entschlüssele die IDs mit TEXT-Funktionen (CODE, ZEICHEN)
4. Finde den Elf mit der höchsten Sicherheitsfreigabe (Level 5)
5. Der erste Buchstabe seines Nachnamens ist dein Lösungscode!</t>
        </is>
      </c>
    </row>
    <row r="12"/>
    <row r="13"/>
    <row r="14"/>
    <row r="15"/>
    <row r="17">
      <c r="A17" s="5" t="inlineStr">
        <is>
          <t>💡 EXCEL-FEATURES</t>
        </is>
      </c>
    </row>
    <row r="18">
      <c r="A18" s="6" t="inlineStr">
        <is>
          <t>XLOOKUP, INDEX, VERGLEICH, CODE, ZEICHEN, VERKETTEN, SVERWEIS</t>
        </is>
      </c>
    </row>
    <row r="19"/>
    <row r="21">
      <c r="A21" s="7" t="inlineStr">
        <is>
          <t>🔐 LÖSUNGSCODE EINGABE</t>
        </is>
      </c>
    </row>
    <row r="23">
      <c r="A23" s="8" t="inlineStr">
        <is>
          <t>Dein Lösungscode:</t>
        </is>
      </c>
      <c r="B23" s="9" t="n"/>
    </row>
    <row r="24">
      <c r="A24" s="10" t="inlineStr">
        <is>
          <t>Hinweis:</t>
        </is>
      </c>
      <c r="B24" s="10" t="inlineStr">
        <is>
          <t>Der erste Buchstabe des Nachnamens des Sicherheitschefs (Großbuchstabe)</t>
        </is>
      </c>
    </row>
  </sheetData>
  <mergeCells count="8">
    <mergeCell ref="A4:F8"/>
    <mergeCell ref="A10:F10"/>
    <mergeCell ref="A18:F19"/>
    <mergeCell ref="A1:F1"/>
    <mergeCell ref="A17:F17"/>
    <mergeCell ref="A3:F3"/>
    <mergeCell ref="A21:F21"/>
    <mergeCell ref="A11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1" t="inlineStr">
        <is>
          <t>🎯 HIER WIRD GEARBEITET 🎯</t>
        </is>
      </c>
    </row>
    <row r="3">
      <c r="A3" s="12" t="inlineStr">
        <is>
          <t>MITARBEITER-DATENBANK</t>
        </is>
      </c>
    </row>
    <row r="4">
      <c r="A4" s="13" t="inlineStr">
        <is>
          <t>ID</t>
        </is>
      </c>
      <c r="B4" s="13" t="inlineStr">
        <is>
          <t>Vorname</t>
        </is>
      </c>
      <c r="C4" s="13" t="inlineStr">
        <is>
          <t>Nachname</t>
        </is>
      </c>
      <c r="D4" s="13" t="inlineStr">
        <is>
          <t>Abteilung</t>
        </is>
      </c>
      <c r="E4" s="13" t="inlineStr">
        <is>
          <t>Verschlüsselt</t>
        </is>
      </c>
      <c r="F4" s="13" t="inlineStr">
        <is>
          <t>Security Level</t>
        </is>
      </c>
    </row>
    <row r="5">
      <c r="A5" t="inlineStr">
        <is>
          <t>E001</t>
        </is>
      </c>
      <c r="B5" t="inlineStr">
        <is>
          <t>Jolly</t>
        </is>
      </c>
      <c r="C5" t="inlineStr">
        <is>
          <t>Elfman</t>
        </is>
      </c>
      <c r="D5" t="inlineStr">
        <is>
          <t>Produktion</t>
        </is>
      </c>
      <c r="E5" t="inlineStr">
        <is>
          <t>KPMM\</t>
        </is>
      </c>
      <c r="F5" t="n">
        <v>2</v>
      </c>
    </row>
    <row r="6">
      <c r="A6" t="inlineStr">
        <is>
          <t>E002</t>
        </is>
      </c>
      <c r="B6" t="inlineStr">
        <is>
          <t>Sparkle</t>
        </is>
      </c>
      <c r="C6" t="inlineStr">
        <is>
          <t>Winterglow</t>
        </is>
      </c>
      <c r="D6" t="inlineStr">
        <is>
          <t>Verpackung</t>
        </is>
      </c>
      <c r="E6" t="inlineStr">
        <is>
          <t>TQBSLMF</t>
        </is>
      </c>
      <c r="F6" t="n">
        <v>1</v>
      </c>
    </row>
    <row r="7">
      <c r="A7" t="inlineStr">
        <is>
          <t>E003</t>
        </is>
      </c>
      <c r="B7" t="inlineStr">
        <is>
          <t>Tinsel</t>
        </is>
      </c>
      <c r="C7" t="inlineStr">
        <is>
          <t>Schneider</t>
        </is>
      </c>
      <c r="D7" t="inlineStr">
        <is>
          <t>Security</t>
        </is>
      </c>
      <c r="E7" t="inlineStr">
        <is>
          <t>UJOTFM</t>
        </is>
      </c>
      <c r="F7" t="n">
        <v>5</v>
      </c>
    </row>
    <row r="8">
      <c r="A8" t="inlineStr">
        <is>
          <t>E004</t>
        </is>
      </c>
      <c r="B8" t="inlineStr">
        <is>
          <t>Holly</t>
        </is>
      </c>
      <c r="C8" t="inlineStr">
        <is>
          <t>Mistletoe</t>
        </is>
      </c>
      <c r="D8" t="inlineStr">
        <is>
          <t>Qualität</t>
        </is>
      </c>
      <c r="E8" t="inlineStr">
        <is>
          <t>IPMM\</t>
        </is>
      </c>
      <c r="F8" t="n">
        <v>3</v>
      </c>
    </row>
    <row r="9">
      <c r="A9" t="inlineStr">
        <is>
          <t>E005</t>
        </is>
      </c>
      <c r="B9" t="inlineStr">
        <is>
          <t>Jingle</t>
        </is>
      </c>
      <c r="C9" t="inlineStr">
        <is>
          <t>Bells</t>
        </is>
      </c>
      <c r="D9" t="inlineStr">
        <is>
          <t>IT-Support</t>
        </is>
      </c>
      <c r="E9" t="inlineStr">
        <is>
          <t>KJPHMF</t>
        </is>
      </c>
      <c r="F9" t="n">
        <v>2</v>
      </c>
    </row>
    <row r="10">
      <c r="A10" t="inlineStr">
        <is>
          <t>E006</t>
        </is>
      </c>
      <c r="B10" t="inlineStr">
        <is>
          <t>Frost</t>
        </is>
      </c>
      <c r="C10" t="inlineStr">
        <is>
          <t>Iceberg</t>
        </is>
      </c>
      <c r="D10" t="inlineStr">
        <is>
          <t>Logistik</t>
        </is>
      </c>
      <c r="E10" t="inlineStr">
        <is>
          <t>GSPTU</t>
        </is>
      </c>
      <c r="F10" t="n">
        <v>4</v>
      </c>
    </row>
    <row r="11">
      <c r="A11" t="inlineStr">
        <is>
          <t>E007</t>
        </is>
      </c>
      <c r="B11" t="inlineStr">
        <is>
          <t>Candy</t>
        </is>
      </c>
      <c r="C11" t="inlineStr">
        <is>
          <t>Cane</t>
        </is>
      </c>
      <c r="D11" t="inlineStr">
        <is>
          <t>HR</t>
        </is>
      </c>
      <c r="E11" t="inlineStr">
        <is>
          <t>DBOEZ</t>
        </is>
      </c>
      <c r="F11" t="n">
        <v>1</v>
      </c>
    </row>
    <row r="12">
      <c r="A12" t="inlineStr">
        <is>
          <t>E008</t>
        </is>
      </c>
      <c r="B12" t="inlineStr">
        <is>
          <t>Snow</t>
        </is>
      </c>
      <c r="C12" t="inlineStr">
        <is>
          <t>Flake</t>
        </is>
      </c>
      <c r="D12" t="inlineStr">
        <is>
          <t>Design</t>
        </is>
      </c>
      <c r="E12" t="inlineStr">
        <is>
          <t>TOPX</t>
        </is>
      </c>
      <c r="F12" t="n">
        <v>3</v>
      </c>
    </row>
    <row r="13">
      <c r="A13" t="inlineStr">
        <is>
          <t>E009</t>
        </is>
      </c>
      <c r="B13" t="inlineStr">
        <is>
          <t>Star</t>
        </is>
      </c>
      <c r="C13" t="inlineStr">
        <is>
          <t>Light</t>
        </is>
      </c>
      <c r="D13" t="inlineStr">
        <is>
          <t>Management</t>
        </is>
      </c>
      <c r="E13" t="inlineStr">
        <is>
          <t>TUBS</t>
        </is>
      </c>
      <c r="F13" t="n">
        <v>2</v>
      </c>
    </row>
    <row r="14">
      <c r="A14" t="inlineStr">
        <is>
          <t>E010</t>
        </is>
      </c>
      <c r="B14" t="inlineStr">
        <is>
          <t>Pine</t>
        </is>
      </c>
      <c r="C14" t="inlineStr">
        <is>
          <t>Tree</t>
        </is>
      </c>
      <c r="D14" t="inlineStr">
        <is>
          <t>Wartung</t>
        </is>
      </c>
      <c r="E14" t="inlineStr">
        <is>
          <t>QJOF</t>
        </is>
      </c>
      <c r="F14" t="n">
        <v>1</v>
      </c>
    </row>
    <row r="17">
      <c r="A17" s="14" t="inlineStr">
        <is>
          <t>ENTSCHLÜSSELUNG</t>
        </is>
      </c>
    </row>
    <row r="19">
      <c r="A19" t="inlineStr">
        <is>
          <t>Security Level 5 Mitarbeiter:</t>
        </is>
      </c>
      <c r="B19" s="9">
        <f>INDEX(C5:C14,VERGLEICH(5,F5:F14,0))</f>
        <v/>
      </c>
    </row>
    <row r="20">
      <c r="A20" t="inlineStr">
        <is>
          <t>Erster Buchstabe (CODE):</t>
        </is>
      </c>
      <c r="B20" s="15">
        <f>LINKS(B19,1)</f>
        <v/>
      </c>
    </row>
    <row r="22">
      <c r="A22" s="10" t="inlineStr">
        <is>
          <t>💡 Tipp: Der verschlüsselte Text ist ein Caesar-Cipher (+1)</t>
        </is>
      </c>
    </row>
  </sheetData>
  <mergeCells count="2">
    <mergeCell ref="A22:F2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6" t="inlineStr">
        <is>
          <t>💡 HILFE-SYSTEM 💡</t>
        </is>
      </c>
    </row>
    <row r="3">
      <c r="A3" s="17" t="inlineStr">
        <is>
          <t>⚠️ Öffne die Hinweise nur, wenn du wirklich feststeckst!</t>
        </is>
      </c>
    </row>
    <row r="5">
      <c r="A5" s="18" t="inlineStr">
        <is>
          <t>🔍 HINWEIS 1 (Klein)</t>
        </is>
      </c>
    </row>
    <row r="6">
      <c r="A6" s="19" t="inlineStr">
        <is>
          <t>Hinweis 1: Suche nach dem Mitarbeiter mit Security Level = 5. Die Funktion VERGLEICH kann dir helfen, die Position zu finden.</t>
        </is>
      </c>
    </row>
    <row r="7"/>
    <row r="8"/>
    <row r="9">
      <c r="A9" s="18" t="inlineStr">
        <is>
          <t>🔎 HINWEIS 2 (Mittel)</t>
        </is>
      </c>
    </row>
    <row r="10">
      <c r="A10" s="19" t="inlineStr">
        <is>
          <t>Hinweis 2: Verwende INDEX zusammen mit VERGLEICH: =INDEX(Nachname_Spalte, VERGLEICH(5, SecurityLevel_Spalte, 0))</t>
        </is>
      </c>
    </row>
    <row r="11"/>
    <row r="12"/>
    <row r="13">
      <c r="A13" s="18" t="inlineStr">
        <is>
          <t>🔦 HINWEIS 3 (Groß)</t>
        </is>
      </c>
    </row>
    <row r="14">
      <c r="A14" s="19" t="inlineStr">
        <is>
          <t>Hinweis 3: Die Lösung ist der erste Buchstabe des Nachnamens. Verwende die Funktion LINKS(Text,1) um den ersten Buchstaben zu extrahieren.</t>
        </is>
      </c>
    </row>
    <row r="15"/>
    <row r="16"/>
  </sheetData>
  <mergeCells count="8">
    <mergeCell ref="A1:D1"/>
    <mergeCell ref="A5:D5"/>
    <mergeCell ref="A9:D9"/>
    <mergeCell ref="A3:D3"/>
    <mergeCell ref="A10:D12"/>
    <mergeCell ref="A14:D16"/>
    <mergeCell ref="A13:D13"/>
    <mergeCell ref="A6:D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20" customWidth="1" min="4" max="4"/>
  </cols>
  <sheetData>
    <row r="1">
      <c r="A1" s="20" t="inlineStr">
        <is>
          <t>✅ LÖSUNGS-VALIDIERUNG ✅</t>
        </is>
      </c>
    </row>
    <row r="3">
      <c r="A3" s="12" t="inlineStr">
        <is>
          <t>Deine Eingabe:</t>
        </is>
      </c>
      <c r="B3" s="21">
        <f>'📖 Story &amp; Aufgabe'!B23</f>
        <v/>
      </c>
    </row>
    <row r="5">
      <c r="A5" s="12" t="inlineStr">
        <is>
          <t>Status:</t>
        </is>
      </c>
      <c r="B5" s="21">
        <f>IF(B3="","⏳ Noch nicht gelöst",IF(B3="S","✅ RICHTIG! Glückwunsch!","❌ Leider falsch, versuche es nochmal"))</f>
        <v/>
      </c>
    </row>
    <row r="7">
      <c r="A7" s="8" t="inlineStr">
        <is>
          <t>💾 Trage den Code in deinen Master-Tracker ein:</t>
        </is>
      </c>
    </row>
    <row r="8">
      <c r="A8" t="inlineStr">
        <is>
          <t>Code für Master-Tracker:</t>
        </is>
      </c>
      <c r="B8" s="22">
        <f>IF(B5="✅ RICHTIG! Glückwunsch!",B3,"")</f>
        <v/>
      </c>
    </row>
  </sheetData>
  <mergeCells count="2">
    <mergeCell ref="A1:D1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2025-11-11T17:47:17Z</dcterms:created>
  <dcterms:modified xsi:type="dcterms:W3CDTF">2025-11-11T17:47:17Z</dcterms:modified>
</cp:coreProperties>
</file>