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ory &amp; Aufgabe" sheetId="1" state="visible" r:id="rId1"/>
    <sheet name="🎯 Arbeitsbereich" sheetId="2" state="visible" r:id="rId2"/>
    <sheet name="💡 Hinweise" sheetId="3" state="visible" r:id="rId3"/>
    <sheet name="✅ Validier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sz val="11"/>
    </font>
    <font>
      <i val="1"/>
      <sz val="10"/>
    </font>
    <font>
      <b val="1"/>
      <sz val="11"/>
    </font>
    <font>
      <b val="1"/>
      <color rgb="00FFFFFF"/>
      <sz val="14"/>
    </font>
    <font>
      <b val="1"/>
    </font>
    <font>
      <b val="1"/>
      <sz val="10"/>
    </font>
    <font>
      <b val="1"/>
      <sz val="14"/>
    </font>
    <font>
      <b val="1"/>
      <color rgb="00C00000"/>
      <sz val="16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5" fillId="0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4" borderId="0" pivotButton="0" quotePrefix="0" xfId="0"/>
    <xf numFmtId="0" fontId="7" fillId="3" borderId="0" pivotButton="0" quotePrefix="0" xfId="0"/>
    <xf numFmtId="0" fontId="9" fillId="5" borderId="0" pivotButton="0" quotePrefix="0" xfId="0"/>
    <xf numFmtId="0" fontId="10" fillId="5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🎄 TAG 4: Die verschlüsselte Geschenkliste 🎄</t>
        </is>
      </c>
    </row>
    <row r="3">
      <c r="A3" s="2" t="inlineStr">
        <is>
          <t>📜 DIE GESCHICHTE</t>
        </is>
      </c>
    </row>
    <row r="4">
      <c r="A4" s="3" t="inlineStr">
        <is>
          <t>Die Geschenklisten sind mit einem Rotationschiffre (Caesar-Cipher) verschlüsselt!
Der GRINCH hat alle Geschenknamen durch einen Caesar-Cipher mit Verschiebung +3 verschlüsselt. Das bedeutet: A wird zu D, B wird zu E, usw.
Dekodiere die Geschenknamen und finde das erste Geschenk auf der Liste. Der Anfangsbuchstabe dieses Geschenks ist dein Code!</t>
        </is>
      </c>
    </row>
    <row r="5"/>
    <row r="6"/>
    <row r="7"/>
    <row r="8"/>
    <row r="10">
      <c r="A10" s="4" t="inlineStr">
        <is>
          <t>🎯 DEINE AUFGABE</t>
        </is>
      </c>
    </row>
    <row r="11">
      <c r="A11" s="3" t="inlineStr">
        <is>
          <t>1. Analysiere die verschlüsselten Geschenknamen
2. Implementiere eine Caesar-Entschlüsselung mit Verschiebung -3
3. Nutze CODE() um Buchstaben in ASCII zu konvertieren
4. Nutze ZEICHEN() um ASCII zurück in Buchstaben zu konvertieren
5. Der erste Buchstabe des ersten entschlüsselten Geschenks ist die Lösung</t>
        </is>
      </c>
    </row>
    <row r="12"/>
    <row r="13"/>
    <row r="14"/>
    <row r="15"/>
    <row r="17">
      <c r="A17" s="5" t="inlineStr">
        <is>
          <t>💡 EXCEL-FEATURES</t>
        </is>
      </c>
    </row>
    <row r="18">
      <c r="A18" s="6" t="inlineStr">
        <is>
          <t>CODE, ZEICHEN, WECHSELN, TEIL, LÄNGE, VERKETTEN, Zeichenketten-Manipulation</t>
        </is>
      </c>
    </row>
    <row r="19"/>
    <row r="21">
      <c r="A21" s="7" t="inlineStr">
        <is>
          <t>🔐 LÖSUNGSCODE EINGABE</t>
        </is>
      </c>
    </row>
    <row r="23">
      <c r="A23" s="8" t="inlineStr">
        <is>
          <t>Dein Lösungscode:</t>
        </is>
      </c>
      <c r="B23" s="9" t="n"/>
    </row>
    <row r="24">
      <c r="A24" s="10" t="inlineStr">
        <is>
          <t>Hinweis:</t>
        </is>
      </c>
      <c r="B24" s="10" t="inlineStr">
        <is>
          <t>Der erste Buchstabe des ersten entschlüsselten Geschenks (Großbuchstabe)</t>
        </is>
      </c>
    </row>
  </sheetData>
  <mergeCells count="8">
    <mergeCell ref="A4:F8"/>
    <mergeCell ref="A10:F10"/>
    <mergeCell ref="A18:F19"/>
    <mergeCell ref="A1:F1"/>
    <mergeCell ref="A17:F17"/>
    <mergeCell ref="A3:F3"/>
    <mergeCell ref="A21:F21"/>
    <mergeCell ref="A11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1" t="inlineStr">
        <is>
          <t>🎯 GESCHENK-ENTSCHLÜSSELUNG 🎯</t>
        </is>
      </c>
    </row>
    <row r="3">
      <c r="A3" s="12" t="inlineStr">
        <is>
          <t>VERSCHLÜSSELTE GESCHENKLISTE (Caesar +3)</t>
        </is>
      </c>
      <c r="F3" s="13" t="inlineStr">
        <is>
          <t>CAESAR-ENTSCHLÜSSELUNG HILFE</t>
        </is>
      </c>
    </row>
    <row r="4">
      <c r="A4" s="14" t="inlineStr">
        <is>
          <t>ID</t>
        </is>
      </c>
      <c r="B4" s="14" t="inlineStr">
        <is>
          <t>Verschlüsselter Name</t>
        </is>
      </c>
      <c r="C4" s="14" t="inlineStr">
        <is>
          <t>Entschlüsselt</t>
        </is>
      </c>
      <c r="D4" s="14" t="inlineStr">
        <is>
          <t>Kategorie</t>
        </is>
      </c>
    </row>
    <row r="5">
      <c r="A5" t="inlineStr">
        <is>
          <t>G001</t>
        </is>
      </c>
      <c r="B5" t="inlineStr">
        <is>
          <t>OHJR</t>
        </is>
      </c>
      <c r="C5" s="9">
        <f>ZEICHEN(CODE(TEIL(B5,1,1))-3)&amp;ZEICHEN(CODE(TEIL(B5,2,1))-3)&amp;ZEICHEN(CODE(TEIL(B5,3,1))-3)&amp;ZEICHEN(CODE(TEIL(B5,4,1))-3)</f>
        <v/>
      </c>
      <c r="D5" t="inlineStr">
        <is>
          <t>Spielzeug</t>
        </is>
      </c>
      <c r="F5" t="inlineStr">
        <is>
          <t>Beispiel für ersten Buchstaben von OHJR:</t>
        </is>
      </c>
    </row>
    <row r="6">
      <c r="A6" t="inlineStr">
        <is>
          <t>G002</t>
        </is>
      </c>
      <c r="B6" t="inlineStr">
        <is>
          <t>SXSSH</t>
        </is>
      </c>
      <c r="C6" t="inlineStr"/>
      <c r="D6" t="inlineStr">
        <is>
          <t>Spielzeug</t>
        </is>
      </c>
      <c r="F6" t="inlineStr">
        <is>
          <t>Buchstabe O:</t>
        </is>
      </c>
      <c r="G6">
        <f>CODE("O")</f>
        <v/>
      </c>
    </row>
    <row r="7">
      <c r="A7" t="inlineStr">
        <is>
          <t>G003</t>
        </is>
      </c>
      <c r="B7" t="inlineStr">
        <is>
          <t>EXFK</t>
        </is>
      </c>
      <c r="C7" t="inlineStr"/>
      <c r="D7" t="inlineStr">
        <is>
          <t>Bücher</t>
        </is>
      </c>
      <c r="F7" t="inlineStr">
        <is>
          <t>Minus 3:</t>
        </is>
      </c>
      <c r="G7">
        <f>G6-3</f>
        <v/>
      </c>
    </row>
    <row r="8">
      <c r="A8" t="inlineStr">
        <is>
          <t>G004</t>
        </is>
      </c>
      <c r="B8" t="inlineStr">
        <is>
          <t>EDOO</t>
        </is>
      </c>
      <c r="C8" t="inlineStr"/>
      <c r="D8" t="inlineStr">
        <is>
          <t>Sport</t>
        </is>
      </c>
      <c r="F8" t="inlineStr">
        <is>
          <t>Als Buchstabe:</t>
        </is>
      </c>
      <c r="G8" s="15">
        <f>ZEICHEN(G7)</f>
        <v/>
      </c>
    </row>
    <row r="9">
      <c r="A9" t="inlineStr">
        <is>
          <t>G005</t>
        </is>
      </c>
      <c r="B9" t="inlineStr">
        <is>
          <t>SXCCROH</t>
        </is>
      </c>
      <c r="C9" t="inlineStr"/>
      <c r="D9" t="inlineStr">
        <is>
          <t>Rätsel</t>
        </is>
      </c>
    </row>
    <row r="10">
      <c r="A10" t="inlineStr">
        <is>
          <t>G006</t>
        </is>
      </c>
      <c r="B10" t="inlineStr">
        <is>
          <t>URERW</t>
        </is>
      </c>
      <c r="C10" t="inlineStr"/>
      <c r="D10" t="inlineStr">
        <is>
          <t>Technik</t>
        </is>
      </c>
    </row>
    <row r="11">
      <c r="A11" t="inlineStr">
        <is>
          <t>G007</t>
        </is>
      </c>
      <c r="B11" t="inlineStr">
        <is>
          <t>JLWDUUH</t>
        </is>
      </c>
      <c r="C11" t="inlineStr"/>
      <c r="D11" t="inlineStr">
        <is>
          <t>Musik</t>
        </is>
      </c>
    </row>
    <row r="12">
      <c r="A12" t="inlineStr">
        <is>
          <t>G008</t>
        </is>
      </c>
      <c r="B12" t="inlineStr">
        <is>
          <t>PDOMVHW</t>
        </is>
      </c>
      <c r="C12" t="inlineStr"/>
      <c r="D12" t="inlineStr">
        <is>
          <t>Kleidung</t>
        </is>
      </c>
    </row>
    <row r="15">
      <c r="A15" s="12" t="inlineStr">
        <is>
          <t>💡 Entschlüsselungs-Tipp:</t>
        </is>
      </c>
    </row>
    <row r="16">
      <c r="A16" s="10" t="inlineStr">
        <is>
          <t>Für jeden Buchstaben: ASCII-Code ermitteln (CODE), 3 abziehen, zurück in Buchstabe (ZEICHEN)</t>
        </is>
      </c>
    </row>
    <row r="18">
      <c r="A18" t="inlineStr">
        <is>
          <t>LÖSUNG - Erster Buchstabe des ersten Geschenks:</t>
        </is>
      </c>
      <c r="B18" s="16">
        <f>LINKS(C5,1)</f>
        <v/>
      </c>
    </row>
  </sheetData>
  <mergeCells count="2">
    <mergeCell ref="A16:E16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7" t="inlineStr">
        <is>
          <t>💡 HILFE-SYSTEM 💡</t>
        </is>
      </c>
    </row>
    <row r="3">
      <c r="A3" s="18" t="inlineStr">
        <is>
          <t>⚠️ Öffne die Hinweise nur, wenn du wirklich feststeckst!</t>
        </is>
      </c>
    </row>
    <row r="5">
      <c r="A5" s="19" t="inlineStr">
        <is>
          <t>🔍 HINWEIS 1 (Klein)</t>
        </is>
      </c>
    </row>
    <row r="6">
      <c r="A6" s="20" t="inlineStr">
        <is>
          <t>Hinweis 1: Bei Caesar-Cipher mit +3 verschlüsselt, musst du -3 rechnen um zu entschlüsseln. A=65, B=66, C=67 im ASCII-Code.</t>
        </is>
      </c>
    </row>
    <row r="7"/>
    <row r="8"/>
    <row r="9">
      <c r="A9" s="19" t="inlineStr">
        <is>
          <t>🔎 HINWEIS 2 (Mittel)</t>
        </is>
      </c>
    </row>
    <row r="10">
      <c r="A10" s="20" t="inlineStr">
        <is>
          <t>Hinweis 2: Die Funktion CODE("O") gibt 79. Ziehe 3 ab: 76. Die Funktion ZEICHEN(76) gibt "L".</t>
        </is>
      </c>
    </row>
    <row r="11"/>
    <row r="12"/>
    <row r="13">
      <c r="A13" s="19" t="inlineStr">
        <is>
          <t>🔦 HINWEIS 3 (Groß)</t>
        </is>
      </c>
    </row>
    <row r="14">
      <c r="A14" s="20" t="inlineStr">
        <is>
          <t>Hinweis 3: Entschlüssele 'OHJR': O→L, H→E, J→G, R→O. Ergebnis: LEGO. Der erste Buchstabe ist L.</t>
        </is>
      </c>
    </row>
    <row r="15"/>
    <row r="16"/>
  </sheetData>
  <mergeCells count="8">
    <mergeCell ref="A1:D1"/>
    <mergeCell ref="A5:D5"/>
    <mergeCell ref="A9:D9"/>
    <mergeCell ref="A3:D3"/>
    <mergeCell ref="A10:D12"/>
    <mergeCell ref="A14:D16"/>
    <mergeCell ref="A13:D13"/>
    <mergeCell ref="A6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</cols>
  <sheetData>
    <row r="1">
      <c r="A1" s="21" t="inlineStr">
        <is>
          <t>✅ LÖSUNGS-VALIDIERUNG ✅</t>
        </is>
      </c>
    </row>
    <row r="3">
      <c r="A3" s="12" t="inlineStr">
        <is>
          <t>Deine Eingabe:</t>
        </is>
      </c>
      <c r="B3" s="22">
        <f>'📖 Story &amp; Aufgabe'!B23</f>
        <v/>
      </c>
    </row>
    <row r="5">
      <c r="A5" s="12" t="inlineStr">
        <is>
          <t>Status:</t>
        </is>
      </c>
      <c r="B5" s="22">
        <f>IF(B3="","⏳ Noch nicht gelöst",IF(B3="L","✅ RICHTIG! Glückwunsch!","❌ Leider falsch, versuche es nochmal"))</f>
        <v/>
      </c>
    </row>
    <row r="7">
      <c r="A7" s="8" t="inlineStr">
        <is>
          <t>💾 Trage den Code in deinen Master-Tracker ein:</t>
        </is>
      </c>
    </row>
    <row r="8">
      <c r="A8" t="inlineStr">
        <is>
          <t>Code für Master-Tracker:</t>
        </is>
      </c>
      <c r="B8" s="23">
        <f>IF(B5="✅ RICHTIG! Glückwunsch!",B3,"")</f>
        <v/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2025-11-11T17:47:17Z</dcterms:created>
  <dcterms:modified xsi:type="dcterms:W3CDTF">2025-11-11T17:47:17Z</dcterms:modified>
</cp:coreProperties>
</file>